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brechas" sheetId="1" state="visible" r:id="rId3"/>
    <sheet name="Decisión G1" sheetId="2" state="visible" r:id="rId4"/>
    <sheet name="Capacidades y paquetes" sheetId="3" state="visible" r:id="rId5"/>
    <sheet name="Supue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<sst xmlns="http://schemas.openxmlformats.org/spreadsheetml/2006/main" count="246" uniqueCount="197">
  <si>
    <t xml:space="preserve">Matriz de brechas (Gap Analysis) - Biblioteca Pública Municipal de Cogua · Equipo ARQUITECH</t>
  </si>
  <si>
    <t xml:space="preserve">Cada brecha se traza a su taller de origen. Prioridad = nivel de riesgo de los Talleres 5 y 6; la columna Iteración indica qué se atiende en este TO-BE.</t>
  </si>
  <si>
    <t xml:space="preserve">ID</t>
  </si>
  <si>
    <t xml:space="preserve">Brecha</t>
  </si>
  <si>
    <t xml:space="preserve">Tipo</t>
  </si>
  <si>
    <t xml:space="preserve">Evidencia (taller de origen)</t>
  </si>
  <si>
    <t xml:space="preserve">Solución TO-BE</t>
  </si>
  <si>
    <t xml:space="preserve">Beneficio esperado</t>
  </si>
  <si>
    <t xml:space="preserve">Riesgo / limitación / dependencia</t>
  </si>
  <si>
    <t xml:space="preserve">Esfuerzo</t>
  </si>
  <si>
    <t xml:space="preserve">Impacto</t>
  </si>
  <si>
    <t xml:space="preserve">Plazo</t>
  </si>
  <si>
    <t xml:space="preserve">Prioridad (riesgo)</t>
  </si>
  <si>
    <t xml:space="preserve">Iteración</t>
  </si>
  <si>
    <t xml:space="preserve">Paquete</t>
  </si>
  <si>
    <t xml:space="preserve">G1</t>
  </si>
  <si>
    <t xml:space="preserve">Catalogación manual título por título, a cargo de una sola persona; Koha tiene cerca del 10 % de la colección</t>
  </si>
  <si>
    <t xml:space="preserve">Funcional / Proceso</t>
  </si>
  <si>
    <t xml:space="preserve">T1 (BPMN), T3 (C2), T6 ítem 15</t>
  </si>
  <si>
    <t xml:space="preserve">Catalogación distribuida con estudiantes (cuentas individuales, perfil de solo catalogación) + lector de ISBN y formato corto; Fase 2: carga por lotes con app propia</t>
  </si>
  <si>
    <t xml:space="preserve">Reparte la carga y acelera el cierre del catálogo público</t>
  </si>
  <si>
    <t xml:space="preserve">Rotación y calidad de estudiantes; perfil restringido por probar; la API REST de Koha no está confirmada (Fase 2)</t>
  </si>
  <si>
    <t xml:space="preserve">Medio</t>
  </si>
  <si>
    <t xml:space="preserve">Alto</t>
  </si>
  <si>
    <t xml:space="preserve">Mediano plazo (WP3); quick win (WP2); Fase 2 (WP4)</t>
  </si>
  <si>
    <t xml:space="preserve">Alta</t>
  </si>
  <si>
    <t xml:space="preserve">Sí</t>
  </si>
  <si>
    <t xml:space="preserve">WP2, WP3, WP4</t>
  </si>
  <si>
    <t xml:space="preserve">G2</t>
  </si>
  <si>
    <t xml:space="preserve">Archivos de eventos, talleres, videos y recursos en una sola copia en el PC, sin respaldo</t>
  </si>
  <si>
    <t xml:space="preserve">Técnica</t>
  </si>
  <si>
    <t xml:space="preserve">T4 (diagnóstico, prioridad alta)</t>
  </si>
  <si>
    <t xml:space="preserve">Respaldo 3-2-1: PC + disco externo + nube institucional</t>
  </si>
  <si>
    <t xml:space="preserve">Evita la pérdida permanente de archivos</t>
  </si>
  <si>
    <t xml:space="preserve">Costo de la nube; no subir datos personales de usuarios sin revisar la política de la Alcaldía</t>
  </si>
  <si>
    <t xml:space="preserve">Bajo</t>
  </si>
  <si>
    <t xml:space="preserve">Quick win</t>
  </si>
  <si>
    <t xml:space="preserve">WP1</t>
  </si>
  <si>
    <t xml:space="preserve">G3</t>
  </si>
  <si>
    <t xml:space="preserve">Cuentas de Koha con permisos de edición compartidas entre la bibliotecaria y los estudiantes; acceso a datos de menores y a reportes</t>
  </si>
  <si>
    <t xml:space="preserve">Seguridad / Cumplimiento</t>
  </si>
  <si>
    <t xml:space="preserve">T5 (T3, T4), T6 ítems 9, 11, 13, 14</t>
  </si>
  <si>
    <t xml:space="preserve">Cuentas individuales, perfil catalogador sin acceso a usuarios ni reportes, compromiso de confidencialidad e inducción</t>
  </si>
  <si>
    <t xml:space="preserve">Trazabilidad por persona y menores protegidos</t>
  </si>
  <si>
    <t xml:space="preserve">Que el perfil restringido funcione en la instancia de Cogua; mantenimiento de cuentas (deshabilitar al terminar el servicio)</t>
  </si>
  <si>
    <t xml:space="preserve">Mediano plazo (junto a WP3)</t>
  </si>
  <si>
    <t xml:space="preserve">WP3</t>
  </si>
  <si>
    <t xml:space="preserve">G4</t>
  </si>
  <si>
    <t xml:space="preserve">Formulario en cuenta creada por un estudiante; discapacidad obligatoria; sin validación presencial de menores</t>
  </si>
  <si>
    <t xml:space="preserve">Cumplimiento</t>
  </si>
  <si>
    <t xml:space="preserve">T6 ítems 3, 4, 8</t>
  </si>
  <si>
    <t xml:space="preserve">Formulario en cuenta institucional (WP3). Pendiente: 'Prefiero no responder' y validación de menores</t>
  </si>
  <si>
    <t xml:space="preserve">Control del Responsable sobre datos sensibles y de menores</t>
  </si>
  <si>
    <t xml:space="preserve">Requiere decisión de la Alcaldía sobre la cuenta institucional</t>
  </si>
  <si>
    <t xml:space="preserve">Parcial</t>
  </si>
  <si>
    <t xml:space="preserve">WP3 (formulario); WP5 (resto)</t>
  </si>
  <si>
    <t xml:space="preserve">G5</t>
  </si>
  <si>
    <t xml:space="preserve">Doble registro manual de usuarios en Koha y Llave del Saber, sin reconciliación</t>
  </si>
  <si>
    <t xml:space="preserve">Funcional</t>
  </si>
  <si>
    <t xml:space="preserve">T3, T4, T5 (T2)</t>
  </si>
  <si>
    <t xml:space="preserve">Número de documento como identificador único y cruce periódico entre ambas plataformas</t>
  </si>
  <si>
    <t xml:space="preserve">Menos inconsistencias entre sistemas</t>
  </si>
  <si>
    <t xml:space="preserve">Depende de la disciplina de una persona; no hay integración posible entre los sistemas</t>
  </si>
  <si>
    <t xml:space="preserve">Mediano plazo</t>
  </si>
  <si>
    <t xml:space="preserve">Media</t>
  </si>
  <si>
    <t xml:space="preserve">No</t>
  </si>
  <si>
    <t xml:space="preserve">WP5</t>
  </si>
  <si>
    <t xml:space="preserve">G6</t>
  </si>
  <si>
    <t xml:space="preserve">Credencial única de Llave del Saber, reutilizada en otros sistemas nacionales, sin rotación ni MFA</t>
  </si>
  <si>
    <t xml:space="preserve">Seguridad</t>
  </si>
  <si>
    <t xml:space="preserve">T5 (T1, T3)</t>
  </si>
  <si>
    <t xml:space="preserve">Solicitud formal a RNBP de rotación al cambiar de personal y evaluación de MFA; bitácora externa de sesiones</t>
  </si>
  <si>
    <t xml:space="preserve">Reduce el riesgo de suplantación</t>
  </si>
  <si>
    <t xml:space="preserve">Depende de RNBP; la biblioteca no controla el sistema</t>
  </si>
  <si>
    <t xml:space="preserve">Quick win (solicitud)</t>
  </si>
  <si>
    <t xml:space="preserve">No (depende de RNBP)</t>
  </si>
  <si>
    <t xml:space="preserve">G7</t>
  </si>
  <si>
    <t xml:space="preserve">Sin continuidad cuando falla la conexión a internet</t>
  </si>
  <si>
    <t xml:space="preserve">Técnica / Proceso</t>
  </si>
  <si>
    <t xml:space="preserve">T4, T5 (T5)</t>
  </si>
  <si>
    <t xml:space="preserve">Enlace de respaldo 4G/5G y procedimiento de registro con fecha retroactiva</t>
  </si>
  <si>
    <t xml:space="preserve">Continuidad mínima del servicio</t>
  </si>
  <si>
    <t xml:space="preserve">Costo recurrente del enlace</t>
  </si>
  <si>
    <t xml:space="preserve">G8</t>
  </si>
  <si>
    <t xml:space="preserve">Respaldos, cifrado y cumplimiento de la Ley 1581 de la infraestructura de terceros, sin evidencia</t>
  </si>
  <si>
    <t xml:space="preserve">Técnica / Cumplimiento</t>
  </si>
  <si>
    <t xml:space="preserve">T4, T5 (T4), T6 ítem 8</t>
  </si>
  <si>
    <t xml:space="preserve">Solicitud formal a Biteca, IDECUT y RNBP de documentación y acuerdo de transmisión de datos</t>
  </si>
  <si>
    <t xml:space="preserve">Visibilidad y respaldo contractual</t>
  </si>
  <si>
    <t xml:space="preserve">Depende de terceros; Biteca ya limitó respuestas por contrato</t>
  </si>
  <si>
    <t xml:space="preserve">No (depende de terceros)</t>
  </si>
  <si>
    <t xml:space="preserve">Matriz de decisión ponderada - G1: catalogación del material en Koha</t>
  </si>
  <si>
    <t xml:space="preserve">Azul = entradas editables (pesos y puntajes). Negro = fórmulas. Escala 1-5: 5 siempre es lo más favorable. Los pesos están pendientes de validar con la bibliotecaria.</t>
  </si>
  <si>
    <t xml:space="preserve">Pesos por escenario</t>
  </si>
  <si>
    <t xml:space="preserve">Escenario</t>
  </si>
  <si>
    <t xml:space="preserve">Reducción de carga</t>
  </si>
  <si>
    <t xml:space="preserve">Dependencia de terceros</t>
  </si>
  <si>
    <t xml:space="preserve">Costo adicional</t>
  </si>
  <si>
    <t xml:space="preserve">Calidad y seguridad</t>
  </si>
  <si>
    <t xml:space="preserve">Suma (debe ser 100 %)</t>
  </si>
  <si>
    <t xml:space="preserve">Base (propuesta del equipo)</t>
  </si>
  <si>
    <t xml:space="preserve">Costo y facilidad</t>
  </si>
  <si>
    <t xml:space="preserve">Carga alta (50 %)</t>
  </si>
  <si>
    <t xml:space="preserve">Carga 66,7 % (resto en partes iguales)</t>
  </si>
  <si>
    <t xml:space="preserve">Puntajes por opción (1-5)</t>
  </si>
  <si>
    <t xml:space="preserve">Opción</t>
  </si>
  <si>
    <t xml:space="preserve">Criterio eliminatorio (carga ≥ 3)</t>
  </si>
  <si>
    <t xml:space="preserve">A · Catalogación asistida (lector + formato corto)</t>
  </si>
  <si>
    <t xml:space="preserve">B · Catalogación distribuida (estudiantes, cuentas individuales)</t>
  </si>
  <si>
    <t xml:space="preserve">C · Carga por lotes con app propia (Fase 2)</t>
  </si>
  <si>
    <t xml:space="preserve">Totales ponderados (SUMPRODUCT de puntajes × pesos)</t>
  </si>
  <si>
    <t xml:space="preserve">Base</t>
  </si>
  <si>
    <t xml:space="preserve">Carga 66,7 %</t>
  </si>
  <si>
    <t xml:space="preserve">Opción con mayor total</t>
  </si>
  <si>
    <t xml:space="preserve">Diferencia entre A y C (menos de 0,3 = empate técnico)</t>
  </si>
  <si>
    <t xml:space="preserve">Escala (5 = más favorable): Carga: 5 = el trabajo deja de depender de una sola persona; 1 = no cambia el esfuerzo por título.</t>
  </si>
  <si>
    <t xml:space="preserve">Dependencia: 5 = la biblioteca lo hace sola; 1 = requiere que un tercero (Biteca/IDECUT) habilite algo sin garantía.</t>
  </si>
  <si>
    <t xml:space="preserve">Costo: 5 = sin costo; 4 = compra única pequeña; 3 = compra mediana u horas de desarrollo; 2 = costo recurrente; 1 = contratación.</t>
  </si>
  <si>
    <t xml:space="preserve">Calidad y seguridad: 5 = mejora calidad y trazabilidad; 1 = aumenta errores, duplicados o acceso no controlado.</t>
  </si>
  <si>
    <t xml:space="preserve">Supuestos: costo del lector y horas de desarrollo son supuestos por cotizar; la API REST de Koha no está confirmada en la versión de Biteca; las 15 horas semanales de los estudiantes son un supuesto.</t>
  </si>
  <si>
    <t xml:space="preserve">Fuente de los datos: los puntajes y su justificación están en entrega/matriz-decision-catalogacion.md. B subió de 3 a 4 en Dependencia porque el equipo confirmó que sí se pueden crear más cuentas en Koha.</t>
  </si>
  <si>
    <t xml:space="preserve">Capacidades de negocio y paquetes de trabajo</t>
  </si>
  <si>
    <t xml:space="preserve">Madurez 1-5 (1 = ad hoc y frágil · 3 = funciona con fallas conocidas · 5 = fiable, medida y escalable). Los valores son una propuesta a validar con el equipo.</t>
  </si>
  <si>
    <t xml:space="preserve">Capacidad (verbo + objeto)</t>
  </si>
  <si>
    <t xml:space="preserve">Madurez AS-IS</t>
  </si>
  <si>
    <t xml:space="preserve">Madurez TO-BE</t>
  </si>
  <si>
    <t xml:space="preserve">Mejora</t>
  </si>
  <si>
    <t xml:space="preserve">Qué la explica</t>
  </si>
  <si>
    <t xml:space="preserve">Catalogar y registrar el material</t>
  </si>
  <si>
    <t xml:space="preserve">Proceso manual, cerca del 10 % cargado (T1, T6)</t>
  </si>
  <si>
    <t xml:space="preserve">Consultar el catálogo</t>
  </si>
  <si>
    <t xml:space="preserve">El catálogo existe, pero con una fracción de la colección (T4, T6)</t>
  </si>
  <si>
    <t xml:space="preserve">WP2, WP3</t>
  </si>
  <si>
    <t xml:space="preserve">Inscribir y gestionar usuarios</t>
  </si>
  <si>
    <t xml:space="preserve">Doble registro y brechas de datos personales (T4, T6); mejora parcial en WP3</t>
  </si>
  <si>
    <t xml:space="preserve">WP3, WP5</t>
  </si>
  <si>
    <t xml:space="preserve">Proteger y respaldar la información</t>
  </si>
  <si>
    <t xml:space="preserve">Una sola copia, sin respaldo (T4)</t>
  </si>
  <si>
    <t xml:space="preserve">Controlar el acceso a los datos</t>
  </si>
  <si>
    <t xml:space="preserve">Cuentas compartidas (T5, T6)</t>
  </si>
  <si>
    <t xml:space="preserve">Prestar y circular material</t>
  </si>
  <si>
    <t xml:space="preserve">Sin brecha formal en esta iteración</t>
  </si>
  <si>
    <t xml:space="preserve">—</t>
  </si>
  <si>
    <t xml:space="preserve">Promedio</t>
  </si>
  <si>
    <t xml:space="preserve">Paquetes de trabajo</t>
  </si>
  <si>
    <t xml:space="preserve">Brechas</t>
  </si>
  <si>
    <t xml:space="preserve">Capacidad que mejora</t>
  </si>
  <si>
    <t xml:space="preserve">Dependencias</t>
  </si>
  <si>
    <t xml:space="preserve">WP1 · Respaldo de archivos</t>
  </si>
  <si>
    <t xml:space="preserve">Proteger y respaldar (1 → 4)</t>
  </si>
  <si>
    <t xml:space="preserve">Disco externo y cuenta institucional en la nube</t>
  </si>
  <si>
    <t xml:space="preserve">WP2 · Catalogación asistida</t>
  </si>
  <si>
    <t xml:space="preserve">Catalogar (2 → 3)</t>
  </si>
  <si>
    <t xml:space="preserve">Compra del lector; formato corto quizá requiere permiso de Biteca</t>
  </si>
  <si>
    <t xml:space="preserve">WP3 · Catalogación distribuida y acceso seguro</t>
  </si>
  <si>
    <t xml:space="preserve">G1, G3, parte de G4</t>
  </si>
  <si>
    <t xml:space="preserve">Catalogar (3 → 4); Controlar el acceso (2 → 4)</t>
  </si>
  <si>
    <t xml:space="preserve">Mediano plazo (decisión de la matriz)</t>
  </si>
  <si>
    <t xml:space="preserve">Prueba del perfil restringido; compromiso de confidencialidad e inducción; cuenta institucional para el formulario</t>
  </si>
  <si>
    <t xml:space="preserve">WP4 · Carga por lotes con app propia</t>
  </si>
  <si>
    <t xml:space="preserve">Catalogar (4 → 5, si la API está disponible)</t>
  </si>
  <si>
    <t xml:space="preserve">Fase 2, condicionada</t>
  </si>
  <si>
    <t xml:space="preserve">API REST de Koha habilitada por Biteca; alguien que construya y mantenga la app</t>
  </si>
  <si>
    <t xml:space="preserve">WP5 · Cumplimiento, identidad y continuidad</t>
  </si>
  <si>
    <t xml:space="preserve">G4 (resto), G5, G6, G7, G8</t>
  </si>
  <si>
    <t xml:space="preserve">Inscribir y gestionar usuarios (2 → 3)</t>
  </si>
  <si>
    <t xml:space="preserve">Backlog</t>
  </si>
  <si>
    <t xml:space="preserve">RNBP, Biteca, IDECUT y Alcaldía</t>
  </si>
  <si>
    <t xml:space="preserve">Supuestos y datos por confirmar</t>
  </si>
  <si>
    <t xml:space="preserve">#</t>
  </si>
  <si>
    <t xml:space="preserve">Supuesto o dato</t>
  </si>
  <si>
    <t xml:space="preserve">Origen</t>
  </si>
  <si>
    <t xml:space="preserve">Cómo confirmarlo</t>
  </si>
  <si>
    <t xml:space="preserve">Los 2 estudiantes de servicio social dedican unas 15 horas semanales cada uno</t>
  </si>
  <si>
    <t xml:space="preserve">Estimación del equipo</t>
  </si>
  <si>
    <t xml:space="preserve">Preguntar a la bibliotecaria las horas y la duración del servicio</t>
  </si>
  <si>
    <t xml:space="preserve">Se pueden crear más cuentas en Koha</t>
  </si>
  <si>
    <t xml:space="preserve">Confirmado por el equipo</t>
  </si>
  <si>
    <t xml:space="preserve">Crear una cuenta de prueba con solo permisos de catalogación</t>
  </si>
  <si>
    <t xml:space="preserve">El perfil de solo catalogación (sin permiso sobre usuarios) funciona en la instancia de Cogua</t>
  </si>
  <si>
    <t xml:space="preserve">Documentación de Koha [5][6]</t>
  </si>
  <si>
    <t xml:space="preserve">Probarlo con la cuenta de prueba</t>
  </si>
  <si>
    <t xml:space="preserve">Koha no ofrece carga por lotes en esta instalación; habría que construir una app</t>
  </si>
  <si>
    <t xml:space="preserve">La API REST de Koha está disponible en la versión de Biteca</t>
  </si>
  <si>
    <t xml:space="preserve">No confirmado</t>
  </si>
  <si>
    <t xml:space="preserve">Preguntar a Biteca la versión y la preferencia de autenticación</t>
  </si>
  <si>
    <t xml:space="preserve">El costo del lector de códigos es una compra única pequeña</t>
  </si>
  <si>
    <t xml:space="preserve">Supuesto</t>
  </si>
  <si>
    <t xml:space="preserve">Cotizar</t>
  </si>
  <si>
    <t xml:space="preserve">La nube institucional es una cuenta de la Alcaldía</t>
  </si>
  <si>
    <t xml:space="preserve">Confirmar con la Alcaldía</t>
  </si>
  <si>
    <t xml:space="preserve">Los pesos de la matriz de decisión son una propuesta (con apoyo de IA)</t>
  </si>
  <si>
    <t xml:space="preserve">Equipo + IA</t>
  </si>
  <si>
    <t xml:space="preserve">Validarlos con la bibliotecaria</t>
  </si>
  <si>
    <t xml:space="preserve">La meta de noviembre no se usa; el último momento responsable queda pendiente</t>
  </si>
  <si>
    <t xml:space="preserve">Instrucción del equipo</t>
  </si>
  <si>
    <t xml:space="preserve">Calcularlo cuando el cliente fije la fecha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</si>
</sst>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30"/>
    <col collapsed="false" customWidth="true" hidden="false" outlineLevel="0" max="7" min="7" style="0" width="42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3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46.2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</row>
    <row r="6" customFormat="false" ht="23.85" hidden="false" customHeight="false" outlineLevel="0" collapsed="false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23</v>
      </c>
      <c r="J6" s="4" t="s">
        <v>36</v>
      </c>
      <c r="K6" s="4" t="s">
        <v>25</v>
      </c>
      <c r="L6" s="4" t="s">
        <v>26</v>
      </c>
      <c r="M6" s="4" t="s">
        <v>37</v>
      </c>
    </row>
    <row r="7" customFormat="false" ht="35.05" hidden="false" customHeight="false" outlineLevel="0" collapsed="false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35</v>
      </c>
      <c r="I7" s="4" t="s">
        <v>23</v>
      </c>
      <c r="J7" s="4" t="s">
        <v>45</v>
      </c>
      <c r="K7" s="4" t="s">
        <v>25</v>
      </c>
      <c r="L7" s="4" t="s">
        <v>26</v>
      </c>
      <c r="M7" s="4" t="s">
        <v>46</v>
      </c>
    </row>
    <row r="8" customFormat="false" ht="35.05" hidden="false" customHeight="false" outlineLevel="0" collapsed="false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35</v>
      </c>
      <c r="I8" s="4" t="s">
        <v>23</v>
      </c>
      <c r="J8" s="4" t="s">
        <v>36</v>
      </c>
      <c r="K8" s="4" t="s">
        <v>25</v>
      </c>
      <c r="L8" s="4" t="s">
        <v>54</v>
      </c>
      <c r="M8" s="4" t="s">
        <v>55</v>
      </c>
    </row>
    <row r="9" customFormat="false" ht="23.85" hidden="false" customHeight="false" outlineLevel="0" collapsed="false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22</v>
      </c>
      <c r="I9" s="4" t="s">
        <v>22</v>
      </c>
      <c r="J9" s="4" t="s">
        <v>63</v>
      </c>
      <c r="K9" s="4" t="s">
        <v>64</v>
      </c>
      <c r="L9" s="4" t="s">
        <v>65</v>
      </c>
      <c r="M9" s="4" t="s">
        <v>66</v>
      </c>
    </row>
    <row r="10" customFormat="false" ht="35.05" hidden="false" customHeight="false" outlineLevel="0" collapsed="false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35</v>
      </c>
      <c r="I10" s="4" t="s">
        <v>23</v>
      </c>
      <c r="J10" s="4" t="s">
        <v>74</v>
      </c>
      <c r="K10" s="4" t="s">
        <v>25</v>
      </c>
      <c r="L10" s="4" t="s">
        <v>75</v>
      </c>
      <c r="M10" s="4" t="s">
        <v>66</v>
      </c>
    </row>
    <row r="11" customFormat="false" ht="23.85" hidden="false" customHeight="false" outlineLevel="0" collapsed="false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35</v>
      </c>
      <c r="I11" s="4" t="s">
        <v>22</v>
      </c>
      <c r="J11" s="4" t="s">
        <v>36</v>
      </c>
      <c r="K11" s="4" t="s">
        <v>64</v>
      </c>
      <c r="L11" s="4" t="s">
        <v>65</v>
      </c>
      <c r="M11" s="4" t="s">
        <v>66</v>
      </c>
    </row>
    <row r="12" customFormat="false" ht="23.85" hidden="false" customHeight="false" outlineLevel="0" collapsed="false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35</v>
      </c>
      <c r="I12" s="4" t="s">
        <v>23</v>
      </c>
      <c r="J12" s="4" t="s">
        <v>63</v>
      </c>
      <c r="K12" s="4" t="s">
        <v>25</v>
      </c>
      <c r="L12" s="4" t="s">
        <v>90</v>
      </c>
      <c r="M12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5" t="s">
        <v>93</v>
      </c>
    </row>
    <row r="4" customFormat="false" ht="31.5" hidden="false" customHeight="true" outlineLevel="0" collapsed="false">
      <c r="A4" s="3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</row>
    <row r="5" customFormat="false" ht="15" hidden="false" customHeight="false" outlineLevel="0" collapsed="false">
      <c r="A5" s="4" t="s">
        <v>100</v>
      </c>
      <c r="B5" s="6" t="n">
        <v>0.35</v>
      </c>
      <c r="C5" s="6" t="n">
        <v>0.25</v>
      </c>
      <c r="D5" s="6" t="n">
        <v>0.2</v>
      </c>
      <c r="E5" s="6" t="n">
        <v>0.2</v>
      </c>
      <c r="F5" s="7" t="n">
        <f aca="false">SUM(B5:E5)</f>
        <v>1</v>
      </c>
    </row>
    <row r="6" customFormat="false" ht="15" hidden="false" customHeight="false" outlineLevel="0" collapsed="false">
      <c r="A6" s="4" t="s">
        <v>101</v>
      </c>
      <c r="B6" s="6" t="n">
        <v>0.2</v>
      </c>
      <c r="C6" s="6" t="n">
        <v>0.3</v>
      </c>
      <c r="D6" s="6" t="n">
        <v>0.3</v>
      </c>
      <c r="E6" s="6" t="n">
        <v>0.2</v>
      </c>
      <c r="F6" s="7" t="n">
        <f aca="false">SUM(B6:E6)</f>
        <v>1</v>
      </c>
    </row>
    <row r="7" customFormat="false" ht="15" hidden="false" customHeight="false" outlineLevel="0" collapsed="false">
      <c r="A7" s="4" t="s">
        <v>102</v>
      </c>
      <c r="B7" s="6" t="n">
        <v>0.5</v>
      </c>
      <c r="C7" s="6" t="n">
        <v>0.15</v>
      </c>
      <c r="D7" s="6" t="n">
        <v>0.15</v>
      </c>
      <c r="E7" s="6" t="n">
        <v>0.2</v>
      </c>
      <c r="F7" s="7" t="n">
        <f aca="false">SUM(B7:E7)</f>
        <v>1</v>
      </c>
    </row>
    <row r="8" customFormat="false" ht="15" hidden="false" customHeight="false" outlineLevel="0" collapsed="false">
      <c r="A8" s="4" t="s">
        <v>103</v>
      </c>
      <c r="B8" s="6" t="n">
        <f aca="false">2/3</f>
        <v>0.666666666666667</v>
      </c>
      <c r="C8" s="6" t="n">
        <f aca="false">1/9</f>
        <v>0.111111111111111</v>
      </c>
      <c r="D8" s="6" t="n">
        <f aca="false">1/9</f>
        <v>0.111111111111111</v>
      </c>
      <c r="E8" s="6" t="n">
        <f aca="false">1/9</f>
        <v>0.111111111111111</v>
      </c>
      <c r="F8" s="7" t="n">
        <f aca="false">SUM(B8:E8)</f>
        <v>1</v>
      </c>
    </row>
    <row r="10" customFormat="false" ht="15" hidden="false" customHeight="false" outlineLevel="0" collapsed="false">
      <c r="A10" s="5" t="s">
        <v>104</v>
      </c>
    </row>
    <row r="11" customFormat="false" ht="31.5" hidden="false" customHeight="true" outlineLevel="0" collapsed="false">
      <c r="A11" s="3" t="s">
        <v>105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106</v>
      </c>
    </row>
    <row r="12" customFormat="false" ht="15" hidden="false" customHeight="false" outlineLevel="0" collapsed="false">
      <c r="A12" s="4" t="s">
        <v>107</v>
      </c>
      <c r="B12" s="8" t="n">
        <v>3</v>
      </c>
      <c r="C12" s="8" t="n">
        <v>4</v>
      </c>
      <c r="D12" s="8" t="n">
        <v>4</v>
      </c>
      <c r="E12" s="8" t="n">
        <v>3</v>
      </c>
      <c r="F12" s="9" t="str">
        <f aca="false">IF(B12&gt;=3,"Pasa","Descartada")</f>
        <v>Pasa</v>
      </c>
    </row>
    <row r="13" customFormat="false" ht="15" hidden="false" customHeight="false" outlineLevel="0" collapsed="false">
      <c r="A13" s="4" t="s">
        <v>108</v>
      </c>
      <c r="B13" s="8" t="n">
        <v>4</v>
      </c>
      <c r="C13" s="8" t="n">
        <v>4</v>
      </c>
      <c r="D13" s="8" t="n">
        <v>5</v>
      </c>
      <c r="E13" s="8" t="n">
        <v>4</v>
      </c>
      <c r="F13" s="9" t="str">
        <f aca="false">IF(B13&gt;=3,"Pasa","Descartada")</f>
        <v>Pasa</v>
      </c>
    </row>
    <row r="14" customFormat="false" ht="15" hidden="false" customHeight="false" outlineLevel="0" collapsed="false">
      <c r="A14" s="4" t="s">
        <v>109</v>
      </c>
      <c r="B14" s="8" t="n">
        <v>5</v>
      </c>
      <c r="C14" s="8" t="n">
        <v>2</v>
      </c>
      <c r="D14" s="8" t="n">
        <v>3</v>
      </c>
      <c r="E14" s="8" t="n">
        <v>2</v>
      </c>
      <c r="F14" s="9" t="str">
        <f aca="false">IF(B14&gt;=3,"Pasa","Descartada")</f>
        <v>Pasa</v>
      </c>
    </row>
    <row r="17" customFormat="false" ht="15" hidden="false" customHeight="false" outlineLevel="0" collapsed="false">
      <c r="A17" s="5" t="s">
        <v>110</v>
      </c>
    </row>
    <row r="18" customFormat="false" ht="31.5" hidden="false" customHeight="true" outlineLevel="0" collapsed="false">
      <c r="A18" s="3" t="s">
        <v>105</v>
      </c>
      <c r="B18" s="3" t="s">
        <v>111</v>
      </c>
      <c r="C18" s="3" t="s">
        <v>101</v>
      </c>
      <c r="D18" s="3" t="s">
        <v>102</v>
      </c>
      <c r="E18" s="3" t="s">
        <v>112</v>
      </c>
    </row>
    <row r="19" customFormat="false" ht="15" hidden="false" customHeight="false" outlineLevel="0" collapsed="false">
      <c r="A19" s="4" t="str">
        <f aca="false">A12</f>
        <v>A · Catalogación asistida (lector + formato corto)</v>
      </c>
      <c r="B19" s="10" t="n">
        <f aca="false">SUMPRODUCT($B12:$E12,$B$5:$E$5)</f>
        <v>3.45</v>
      </c>
      <c r="C19" s="10" t="n">
        <f aca="false">SUMPRODUCT($B12:$E12,$B$6:$E$6)</f>
        <v>3.6</v>
      </c>
      <c r="D19" s="10" t="n">
        <f aca="false">SUMPRODUCT($B12:$E12,$B$7:$E$7)</f>
        <v>3.3</v>
      </c>
      <c r="E19" s="10" t="n">
        <f aca="false">SUMPRODUCT($B12:$E12,$B$8:$E$8)</f>
        <v>3.22222222222222</v>
      </c>
    </row>
    <row r="20" customFormat="false" ht="15" hidden="false" customHeight="false" outlineLevel="0" collapsed="false">
      <c r="A20" s="4" t="str">
        <f aca="false">A13</f>
        <v>B · Catalogación distribuida (estudiantes, cuentas individuales)</v>
      </c>
      <c r="B20" s="10" t="n">
        <f aca="false">SUMPRODUCT($B13:$E13,$B$5:$E$5)</f>
        <v>4.2</v>
      </c>
      <c r="C20" s="10" t="n">
        <f aca="false">SUMPRODUCT($B13:$E13,$B$6:$E$6)</f>
        <v>4.3</v>
      </c>
      <c r="D20" s="10" t="n">
        <f aca="false">SUMPRODUCT($B13:$E13,$B$7:$E$7)</f>
        <v>4.15</v>
      </c>
      <c r="E20" s="10" t="n">
        <f aca="false">SUMPRODUCT($B13:$E13,$B$8:$E$8)</f>
        <v>4.11111111111111</v>
      </c>
    </row>
    <row r="21" customFormat="false" ht="15" hidden="false" customHeight="false" outlineLevel="0" collapsed="false">
      <c r="A21" s="4" t="str">
        <f aca="false">A14</f>
        <v>C · Carga por lotes con app propia (Fase 2)</v>
      </c>
      <c r="B21" s="10" t="n">
        <f aca="false">SUMPRODUCT($B14:$E14,$B$5:$E$5)</f>
        <v>3.25</v>
      </c>
      <c r="C21" s="10" t="n">
        <f aca="false">SUMPRODUCT($B14:$E14,$B$6:$E$6)</f>
        <v>2.9</v>
      </c>
      <c r="D21" s="10" t="n">
        <f aca="false">SUMPRODUCT($B14:$E14,$B$7:$E$7)</f>
        <v>3.65</v>
      </c>
      <c r="E21" s="10" t="n">
        <f aca="false">SUMPRODUCT($B14:$E14,$B$8:$E$8)</f>
        <v>4.11111111111111</v>
      </c>
    </row>
    <row r="22" customFormat="false" ht="35.05" hidden="false" customHeight="false" outlineLevel="0" collapsed="false">
      <c r="A22" s="11" t="s">
        <v>113</v>
      </c>
      <c r="B22" s="12" t="str">
        <f aca="false">INDEX($A$19:$A$21,MATCH(MAX(B19:B21),B19:B21,0))</f>
        <v>B · Catalogación distribuida (estudiantes, cuentas individuales)</v>
      </c>
      <c r="C22" s="12" t="str">
        <f aca="false">INDEX($A$19:$A$21,MATCH(MAX(C19:C21),C19:C21,0))</f>
        <v>B · Catalogación distribuida (estudiantes, cuentas individuales)</v>
      </c>
      <c r="D22" s="12" t="str">
        <f aca="false">INDEX($A$19:$A$21,MATCH(MAX(D19:D21),D19:D21,0))</f>
        <v>B · Catalogación distribuida (estudiantes, cuentas individuales)</v>
      </c>
      <c r="E22" s="12" t="str">
        <f aca="false">INDEX($A$19:$A$21,MATCH(MAX(E19:E21),E19:E21,0))</f>
        <v>B · Catalogación distribuida (estudiantes, cuentas individuales)</v>
      </c>
    </row>
    <row r="23" customFormat="false" ht="15" hidden="false" customHeight="false" outlineLevel="0" collapsed="false">
      <c r="A23" s="4" t="s">
        <v>114</v>
      </c>
      <c r="B23" s="10" t="n">
        <f aca="false">ABS(B19-B21)</f>
        <v>0.2</v>
      </c>
    </row>
    <row r="25" customFormat="false" ht="15" hidden="false" customHeight="false" outlineLevel="0" collapsed="false">
      <c r="A25" s="13" t="s">
        <v>115</v>
      </c>
    </row>
    <row r="26" customFormat="false" ht="15" hidden="false" customHeight="false" outlineLevel="0" collapsed="false">
      <c r="A26" s="13" t="s">
        <v>116</v>
      </c>
    </row>
    <row r="27" customFormat="false" ht="15" hidden="false" customHeight="false" outlineLevel="0" collapsed="false">
      <c r="A27" s="13" t="s">
        <v>117</v>
      </c>
    </row>
    <row r="28" customFormat="false" ht="15" hidden="false" customHeight="false" outlineLevel="0" collapsed="false">
      <c r="A28" s="13" t="s">
        <v>118</v>
      </c>
    </row>
    <row r="29" customFormat="false" ht="15" hidden="false" customHeight="false" outlineLevel="0" collapsed="false">
      <c r="A29" s="13" t="s">
        <v>119</v>
      </c>
    </row>
    <row r="30" customFormat="false" ht="15" hidden="false" customHeight="false" outlineLevel="0" collapsed="false">
      <c r="A30" s="1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7.75" hidden="false" customHeight="true" outlineLevel="0" collapsed="false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14</v>
      </c>
    </row>
    <row r="5" customFormat="false" ht="15" hidden="false" customHeight="false" outlineLevel="0" collapsed="false">
      <c r="A5" s="4" t="s">
        <v>128</v>
      </c>
      <c r="B5" s="8" t="n">
        <v>2</v>
      </c>
      <c r="C5" s="8" t="n">
        <v>4</v>
      </c>
      <c r="D5" s="9" t="n">
        <f aca="false">C5-B5</f>
        <v>2</v>
      </c>
      <c r="E5" s="4" t="s">
        <v>129</v>
      </c>
      <c r="F5" s="4" t="s">
        <v>27</v>
      </c>
    </row>
    <row r="6" customFormat="false" ht="15" hidden="false" customHeight="false" outlineLevel="0" collapsed="false">
      <c r="A6" s="4" t="s">
        <v>130</v>
      </c>
      <c r="B6" s="8" t="n">
        <v>2</v>
      </c>
      <c r="C6" s="8" t="n">
        <v>3</v>
      </c>
      <c r="D6" s="9" t="n">
        <f aca="false">C6-B6</f>
        <v>1</v>
      </c>
      <c r="E6" s="4" t="s">
        <v>131</v>
      </c>
      <c r="F6" s="4" t="s">
        <v>132</v>
      </c>
    </row>
    <row r="7" customFormat="false" ht="23.85" hidden="false" customHeight="false" outlineLevel="0" collapsed="false">
      <c r="A7" s="4" t="s">
        <v>133</v>
      </c>
      <c r="B7" s="8" t="n">
        <v>2</v>
      </c>
      <c r="C7" s="8" t="n">
        <v>3</v>
      </c>
      <c r="D7" s="9" t="n">
        <f aca="false">C7-B7</f>
        <v>1</v>
      </c>
      <c r="E7" s="4" t="s">
        <v>134</v>
      </c>
      <c r="F7" s="4" t="s">
        <v>135</v>
      </c>
    </row>
    <row r="8" customFormat="false" ht="15" hidden="false" customHeight="false" outlineLevel="0" collapsed="false">
      <c r="A8" s="4" t="s">
        <v>136</v>
      </c>
      <c r="B8" s="8" t="n">
        <v>1</v>
      </c>
      <c r="C8" s="8" t="n">
        <v>4</v>
      </c>
      <c r="D8" s="9" t="n">
        <f aca="false">C8-B8</f>
        <v>3</v>
      </c>
      <c r="E8" s="4" t="s">
        <v>137</v>
      </c>
      <c r="F8" s="4" t="s">
        <v>37</v>
      </c>
    </row>
    <row r="9" customFormat="false" ht="15" hidden="false" customHeight="false" outlineLevel="0" collapsed="false">
      <c r="A9" s="4" t="s">
        <v>138</v>
      </c>
      <c r="B9" s="8" t="n">
        <v>2</v>
      </c>
      <c r="C9" s="8" t="n">
        <v>4</v>
      </c>
      <c r="D9" s="9" t="n">
        <f aca="false">C9-B9</f>
        <v>2</v>
      </c>
      <c r="E9" s="4" t="s">
        <v>139</v>
      </c>
      <c r="F9" s="4" t="s">
        <v>46</v>
      </c>
    </row>
    <row r="10" customFormat="false" ht="15" hidden="false" customHeight="false" outlineLevel="0" collapsed="false">
      <c r="A10" s="4" t="s">
        <v>140</v>
      </c>
      <c r="B10" s="8" t="n">
        <v>3</v>
      </c>
      <c r="C10" s="8" t="n">
        <v>3</v>
      </c>
      <c r="D10" s="9" t="n">
        <f aca="false">C10-B10</f>
        <v>0</v>
      </c>
      <c r="E10" s="4" t="s">
        <v>141</v>
      </c>
      <c r="F10" s="4" t="s">
        <v>142</v>
      </c>
    </row>
    <row r="11" customFormat="false" ht="15" hidden="false" customHeight="false" outlineLevel="0" collapsed="false">
      <c r="A11" s="11" t="s">
        <v>143</v>
      </c>
      <c r="B11" s="14" t="n">
        <f aca="false">AVERAGE(B5:B10)</f>
        <v>2</v>
      </c>
      <c r="C11" s="14" t="n">
        <f aca="false">AVERAGE(C5:C10)</f>
        <v>3.5</v>
      </c>
      <c r="D11" s="14" t="n">
        <f aca="false">AVERAGE(D5:D10)</f>
        <v>1.5</v>
      </c>
    </row>
    <row r="13" customFormat="false" ht="15" hidden="false" customHeight="false" outlineLevel="0" collapsed="false">
      <c r="A13" s="5" t="s">
        <v>144</v>
      </c>
    </row>
    <row r="14" customFormat="false" ht="27.75" hidden="false" customHeight="true" outlineLevel="0" collapsed="false">
      <c r="A14" s="3" t="s">
        <v>14</v>
      </c>
      <c r="B14" s="3" t="s">
        <v>145</v>
      </c>
      <c r="C14" s="3" t="s">
        <v>146</v>
      </c>
      <c r="D14" s="3" t="s">
        <v>4</v>
      </c>
      <c r="E14" s="3" t="s">
        <v>147</v>
      </c>
    </row>
    <row r="15" customFormat="false" ht="15" hidden="false" customHeight="false" outlineLevel="0" collapsed="false">
      <c r="A15" s="4" t="s">
        <v>148</v>
      </c>
      <c r="B15" s="4" t="s">
        <v>28</v>
      </c>
      <c r="C15" s="4" t="s">
        <v>149</v>
      </c>
      <c r="D15" s="4" t="s">
        <v>36</v>
      </c>
      <c r="E15" s="4" t="s">
        <v>150</v>
      </c>
    </row>
    <row r="16" customFormat="false" ht="15" hidden="false" customHeight="false" outlineLevel="0" collapsed="false">
      <c r="A16" s="4" t="s">
        <v>151</v>
      </c>
      <c r="B16" s="4" t="s">
        <v>15</v>
      </c>
      <c r="C16" s="4" t="s">
        <v>152</v>
      </c>
      <c r="D16" s="4" t="s">
        <v>36</v>
      </c>
      <c r="E16" s="4" t="s">
        <v>153</v>
      </c>
    </row>
    <row r="17" customFormat="false" ht="23.85" hidden="false" customHeight="false" outlineLevel="0" collapsed="false">
      <c r="A17" s="4" t="s">
        <v>154</v>
      </c>
      <c r="B17" s="4" t="s">
        <v>155</v>
      </c>
      <c r="C17" s="4" t="s">
        <v>156</v>
      </c>
      <c r="D17" s="4" t="s">
        <v>157</v>
      </c>
      <c r="E17" s="4" t="s">
        <v>158</v>
      </c>
    </row>
    <row r="18" customFormat="false" ht="23.85" hidden="false" customHeight="false" outlineLevel="0" collapsed="false">
      <c r="A18" s="4" t="s">
        <v>159</v>
      </c>
      <c r="B18" s="4" t="s">
        <v>15</v>
      </c>
      <c r="C18" s="4" t="s">
        <v>160</v>
      </c>
      <c r="D18" s="4" t="s">
        <v>161</v>
      </c>
      <c r="E18" s="4" t="s">
        <v>162</v>
      </c>
    </row>
    <row r="19" customFormat="false" ht="23.85" hidden="false" customHeight="false" outlineLevel="0" collapsed="false">
      <c r="A19" s="4" t="s">
        <v>163</v>
      </c>
      <c r="B19" s="4" t="s">
        <v>164</v>
      </c>
      <c r="C19" s="4" t="s">
        <v>165</v>
      </c>
      <c r="D19" s="4" t="s">
        <v>166</v>
      </c>
      <c r="E19" s="4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3" t="s">
        <v>169</v>
      </c>
      <c r="B3" s="3" t="s">
        <v>170</v>
      </c>
      <c r="C3" s="3" t="s">
        <v>171</v>
      </c>
      <c r="D3" s="3" t="s">
        <v>172</v>
      </c>
    </row>
    <row r="4" customFormat="false" ht="15" hidden="false" customHeight="false" outlineLevel="0" collapsed="false">
      <c r="A4" s="4" t="n">
        <v>1</v>
      </c>
      <c r="B4" s="4" t="s">
        <v>173</v>
      </c>
      <c r="C4" s="4" t="s">
        <v>174</v>
      </c>
      <c r="D4" s="4" t="s">
        <v>175</v>
      </c>
    </row>
    <row r="5" customFormat="false" ht="15" hidden="false" customHeight="false" outlineLevel="0" collapsed="false">
      <c r="A5" s="4" t="n">
        <v>2</v>
      </c>
      <c r="B5" s="4" t="s">
        <v>176</v>
      </c>
      <c r="C5" s="4" t="s">
        <v>177</v>
      </c>
      <c r="D5" s="4" t="s">
        <v>178</v>
      </c>
    </row>
    <row r="6" customFormat="false" ht="23.85" hidden="false" customHeight="false" outlineLevel="0" collapsed="false">
      <c r="A6" s="4" t="n">
        <v>3</v>
      </c>
      <c r="B6" s="4" t="s">
        <v>179</v>
      </c>
      <c r="C6" s="4" t="s">
        <v>180</v>
      </c>
      <c r="D6" s="4" t="s">
        <v>181</v>
      </c>
    </row>
    <row r="7" customFormat="false" ht="15" hidden="false" customHeight="false" outlineLevel="0" collapsed="false">
      <c r="A7" s="4" t="n">
        <v>4</v>
      </c>
      <c r="B7" s="4" t="s">
        <v>182</v>
      </c>
      <c r="C7" s="4" t="s">
        <v>177</v>
      </c>
      <c r="D7" s="4" t="s">
        <v>142</v>
      </c>
    </row>
    <row r="8" customFormat="false" ht="15" hidden="false" customHeight="false" outlineLevel="0" collapsed="false">
      <c r="A8" s="4" t="n">
        <v>5</v>
      </c>
      <c r="B8" s="4" t="s">
        <v>183</v>
      </c>
      <c r="C8" s="4" t="s">
        <v>184</v>
      </c>
      <c r="D8" s="4" t="s">
        <v>185</v>
      </c>
    </row>
    <row r="9" customFormat="false" ht="15" hidden="false" customHeight="false" outlineLevel="0" collapsed="false">
      <c r="A9" s="4" t="n">
        <v>6</v>
      </c>
      <c r="B9" s="4" t="s">
        <v>186</v>
      </c>
      <c r="C9" s="4" t="s">
        <v>187</v>
      </c>
      <c r="D9" s="4" t="s">
        <v>188</v>
      </c>
    </row>
    <row r="10" customFormat="false" ht="15" hidden="false" customHeight="false" outlineLevel="0" collapsed="false">
      <c r="A10" s="4" t="n">
        <v>7</v>
      </c>
      <c r="B10" s="4" t="s">
        <v>189</v>
      </c>
      <c r="C10" s="4" t="s">
        <v>187</v>
      </c>
      <c r="D10" s="4" t="s">
        <v>190</v>
      </c>
    </row>
    <row r="11" customFormat="false" ht="15" hidden="false" customHeight="false" outlineLevel="0" collapsed="false">
      <c r="A11" s="4" t="n">
        <v>8</v>
      </c>
      <c r="B11" s="4" t="s">
        <v>191</v>
      </c>
      <c r="C11" s="4" t="s">
        <v>192</v>
      </c>
      <c r="D11" s="4" t="s">
        <v>193</v>
      </c>
    </row>
    <row r="12" customFormat="false" ht="15" hidden="false" customHeight="false" outlineLevel="0" collapsed="false">
      <c r="A12" s="4" t="n">
        <v>9</v>
      </c>
      <c r="B12" s="4" t="s">
        <v>194</v>
      </c>
      <c r="C12" s="4" t="s">
        <v>195</v>
      </c>
      <c r="D12" s="4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2026-10-03T03:05:56Z</dcterms:created>
  <dc:creator>openpyxl</dc:creator>
  <dc:description/>
  <dc:language>en-US</dc:language>
  <cp:lastModifiedBy/>
  <dcterms:modified xsi:type="dcterms:W3CDTF">2026-10-03T03:05:56Z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